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merHowell\Documents\"/>
    </mc:Choice>
  </mc:AlternateContent>
  <xr:revisionPtr revIDLastSave="0" documentId="8_{71365DB7-59B1-4B4C-A13A-A868599E76AB}" xr6:coauthVersionLast="47" xr6:coauthVersionMax="47" xr10:uidLastSave="{00000000-0000-0000-0000-000000000000}"/>
  <bookViews>
    <workbookView xWindow="30" yWindow="-16320" windowWidth="29040" windowHeight="15720" xr2:uid="{264C6F36-481C-4D21-9278-6D2C35470AB2}"/>
  </bookViews>
  <sheets>
    <sheet name="Surrender predictive model" sheetId="1" r:id="rId1"/>
  </sheets>
  <externalReferences>
    <externalReference r:id="rId2"/>
    <externalReference r:id="rId3"/>
  </externalReferences>
  <definedNames>
    <definedName name="annual_volume">#REF!</definedName>
    <definedName name="i_CapOnCap">[2]Control!$C$28</definedName>
    <definedName name="i_caymanhaircut">[2]Control!$C$7</definedName>
    <definedName name="i_corporatetax">[2]Control!$C$3</definedName>
    <definedName name="i_LOCamount">[2]Control!$C$4</definedName>
    <definedName name="i_LOCcost">[2]Control!$C$5</definedName>
    <definedName name="i_OCR">[2]Control!$C$13</definedName>
    <definedName name="i_OpEx">[2]Control!$C$8</definedName>
    <definedName name="i_overridecredit">[2]Control!$C$12</definedName>
    <definedName name="i_RBCC1cs">[2]Control!$C$23</definedName>
    <definedName name="i_RBCC1cs_hedge">[2]Control!$C$24</definedName>
    <definedName name="i_RBCC1o">[2]Control!$C$22</definedName>
    <definedName name="i_RBCC3_nonSC">[2]Control!$C$26</definedName>
    <definedName name="i_RBCC3_SC">[2]Control!$C$25</definedName>
    <definedName name="i_RBCtarget">[2]Control!$C$27</definedName>
    <definedName name="i_reservefinancingcost">[2]Control!$C$6</definedName>
    <definedName name="i_salestotal_glwb">[2]Control!#REF!</definedName>
    <definedName name="i_salestotal_myga">[2]Control!#REF!</definedName>
    <definedName name="i_trailcede_glwb">[2]Control!$C$17</definedName>
    <definedName name="i_trailcede_myga">[2]Control!$C$19</definedName>
    <definedName name="i_upfrontcede_glwb">[2]Control!$C$16</definedName>
    <definedName name="i_upfrontcede_myga">[2]Control!$C$18</definedName>
    <definedName name="i_yieldshock">[2]Control!$C$9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roj_years">#REF!</definedName>
    <definedName name="retained">#REF!</definedName>
    <definedName name="retained_ful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" i="1" l="1"/>
  <c r="U21" i="1"/>
  <c r="U20" i="1"/>
  <c r="U19" i="1"/>
  <c r="U18" i="1"/>
  <c r="U17" i="1"/>
  <c r="U16" i="1"/>
  <c r="U15" i="1"/>
  <c r="U14" i="1"/>
  <c r="E9" i="1"/>
  <c r="E10" i="1" s="1"/>
  <c r="D9" i="1"/>
  <c r="K8" i="1"/>
  <c r="F8" i="1"/>
  <c r="D8" i="1"/>
  <c r="F10" i="1" l="1"/>
  <c r="K10" i="1" s="1"/>
  <c r="D10" i="1"/>
  <c r="E11" i="1"/>
  <c r="F9" i="1"/>
  <c r="K9" i="1"/>
  <c r="E12" i="1" l="1"/>
  <c r="F11" i="1"/>
  <c r="K11" i="1" s="1"/>
  <c r="D11" i="1"/>
  <c r="F12" i="1" l="1"/>
  <c r="D12" i="1"/>
  <c r="E13" i="1"/>
  <c r="K12" i="1"/>
  <c r="F13" i="1" l="1"/>
  <c r="K13" i="1" s="1"/>
  <c r="D13" i="1"/>
  <c r="E14" i="1"/>
  <c r="G8" i="1" l="1"/>
  <c r="G10" i="1"/>
  <c r="G9" i="1"/>
  <c r="G11" i="1"/>
  <c r="G12" i="1"/>
  <c r="D14" i="1"/>
  <c r="E15" i="1"/>
  <c r="G14" i="1"/>
  <c r="F14" i="1"/>
  <c r="K14" i="1"/>
  <c r="G13" i="1"/>
  <c r="J17" i="1" l="1"/>
  <c r="J22" i="1"/>
  <c r="I22" i="1"/>
  <c r="H22" i="1" s="1"/>
  <c r="J15" i="1"/>
  <c r="I15" i="1" s="1"/>
  <c r="H15" i="1" s="1"/>
  <c r="J12" i="1"/>
  <c r="I12" i="1" s="1"/>
  <c r="J24" i="1"/>
  <c r="I24" i="1" s="1"/>
  <c r="H24" i="1" s="1"/>
  <c r="I17" i="1"/>
  <c r="H17" i="1" s="1"/>
  <c r="J29" i="1"/>
  <c r="I29" i="1" s="1"/>
  <c r="H29" i="1" s="1"/>
  <c r="J20" i="1"/>
  <c r="I20" i="1"/>
  <c r="H20" i="1" s="1"/>
  <c r="J13" i="1"/>
  <c r="I13" i="1" s="1"/>
  <c r="J27" i="1"/>
  <c r="I27" i="1" s="1"/>
  <c r="H27" i="1" s="1"/>
  <c r="I26" i="1"/>
  <c r="H26" i="1" s="1"/>
  <c r="J11" i="1"/>
  <c r="J25" i="1"/>
  <c r="I25" i="1" s="1"/>
  <c r="H25" i="1" s="1"/>
  <c r="J18" i="1"/>
  <c r="I18" i="1" s="1"/>
  <c r="H18" i="1" s="1"/>
  <c r="I11" i="1"/>
  <c r="H11" i="1" s="1"/>
  <c r="J9" i="1"/>
  <c r="I9" i="1" s="1"/>
  <c r="J8" i="1"/>
  <c r="I8" i="1" s="1"/>
  <c r="J21" i="1"/>
  <c r="I21" i="1" s="1"/>
  <c r="H21" i="1" s="1"/>
  <c r="J14" i="1"/>
  <c r="I14" i="1" s="1"/>
  <c r="H14" i="1" s="1"/>
  <c r="J19" i="1"/>
  <c r="I19" i="1" s="1"/>
  <c r="H19" i="1" s="1"/>
  <c r="J26" i="1"/>
  <c r="J10" i="1"/>
  <c r="I10" i="1" s="1"/>
  <c r="H10" i="1" s="1"/>
  <c r="J23" i="1"/>
  <c r="I23" i="1" s="1"/>
  <c r="H23" i="1" s="1"/>
  <c r="J16" i="1"/>
  <c r="I16" i="1" s="1"/>
  <c r="H16" i="1" s="1"/>
  <c r="J28" i="1"/>
  <c r="I28" i="1" s="1"/>
  <c r="H28" i="1" s="1"/>
  <c r="R13" i="1"/>
  <c r="R14" i="1"/>
  <c r="E16" i="1"/>
  <c r="G15" i="1"/>
  <c r="F15" i="1"/>
  <c r="K15" i="1" s="1"/>
  <c r="D15" i="1"/>
  <c r="R12" i="1"/>
  <c r="R11" i="1"/>
  <c r="R9" i="1"/>
  <c r="R10" i="1"/>
  <c r="H12" i="1" l="1"/>
  <c r="P12" i="1" s="1"/>
  <c r="Q12" i="1" s="1"/>
  <c r="P10" i="1"/>
  <c r="Q10" i="1" s="1"/>
  <c r="N10" i="1"/>
  <c r="O10" i="1" s="1"/>
  <c r="H13" i="1"/>
  <c r="P13" i="1"/>
  <c r="Q13" i="1" s="1"/>
  <c r="N13" i="1"/>
  <c r="O13" i="1" s="1"/>
  <c r="H9" i="1"/>
  <c r="N9" i="1" s="1"/>
  <c r="O9" i="1" s="1"/>
  <c r="P9" i="1"/>
  <c r="Q9" i="1" s="1"/>
  <c r="H8" i="1"/>
  <c r="N8" i="1" s="1"/>
  <c r="O8" i="1" s="1"/>
  <c r="P8" i="1"/>
  <c r="Q8" i="1" s="1"/>
  <c r="N14" i="1"/>
  <c r="O14" i="1" s="1"/>
  <c r="P14" i="1"/>
  <c r="Q14" i="1" s="1"/>
  <c r="N11" i="1"/>
  <c r="O11" i="1" s="1"/>
  <c r="P11" i="1"/>
  <c r="Q11" i="1" s="1"/>
  <c r="N12" i="1"/>
  <c r="O12" i="1" s="1"/>
  <c r="P15" i="1"/>
  <c r="Q15" i="1" s="1"/>
  <c r="N15" i="1"/>
  <c r="O15" i="1" s="1"/>
  <c r="R15" i="1"/>
  <c r="E17" i="1"/>
  <c r="K16" i="1"/>
  <c r="G16" i="1"/>
  <c r="D16" i="1"/>
  <c r="F16" i="1"/>
  <c r="R16" i="1" l="1"/>
  <c r="P16" i="1"/>
  <c r="Q16" i="1" s="1"/>
  <c r="N16" i="1"/>
  <c r="O16" i="1" s="1"/>
  <c r="G17" i="1"/>
  <c r="F17" i="1"/>
  <c r="D17" i="1"/>
  <c r="K17" i="1"/>
  <c r="E18" i="1"/>
  <c r="E19" i="1" l="1"/>
  <c r="G18" i="1"/>
  <c r="F18" i="1"/>
  <c r="K18" i="1"/>
  <c r="D18" i="1"/>
  <c r="N17" i="1"/>
  <c r="O17" i="1" s="1"/>
  <c r="P17" i="1"/>
  <c r="Q17" i="1" s="1"/>
  <c r="R17" i="1"/>
  <c r="R18" i="1" l="1"/>
  <c r="P18" i="1"/>
  <c r="Q18" i="1" s="1"/>
  <c r="N18" i="1"/>
  <c r="O18" i="1" s="1"/>
  <c r="F19" i="1"/>
  <c r="D19" i="1"/>
  <c r="G19" i="1"/>
  <c r="K19" i="1"/>
  <c r="E20" i="1"/>
  <c r="G20" i="1" l="1"/>
  <c r="F20" i="1"/>
  <c r="K20" i="1" s="1"/>
  <c r="D20" i="1"/>
  <c r="E21" i="1"/>
  <c r="P19" i="1"/>
  <c r="Q19" i="1" s="1"/>
  <c r="N19" i="1"/>
  <c r="O19" i="1" s="1"/>
  <c r="R19" i="1"/>
  <c r="R20" i="1" l="1"/>
  <c r="P20" i="1"/>
  <c r="Q20" i="1" s="1"/>
  <c r="N20" i="1"/>
  <c r="O20" i="1" s="1"/>
  <c r="G21" i="1"/>
  <c r="E22" i="1"/>
  <c r="F21" i="1"/>
  <c r="K21" i="1" s="1"/>
  <c r="D21" i="1"/>
  <c r="G22" i="1" l="1"/>
  <c r="F22" i="1"/>
  <c r="K22" i="1" s="1"/>
  <c r="D22" i="1"/>
  <c r="E23" i="1"/>
  <c r="N21" i="1"/>
  <c r="O21" i="1" s="1"/>
  <c r="R21" i="1"/>
  <c r="P21" i="1"/>
  <c r="Q21" i="1" s="1"/>
  <c r="N22" i="1" l="1"/>
  <c r="O22" i="1" s="1"/>
  <c r="P22" i="1"/>
  <c r="Q22" i="1" s="1"/>
  <c r="R22" i="1"/>
  <c r="E24" i="1"/>
  <c r="F23" i="1"/>
  <c r="D23" i="1"/>
  <c r="K23" i="1"/>
  <c r="G23" i="1"/>
  <c r="G24" i="1" l="1"/>
  <c r="F24" i="1"/>
  <c r="D24" i="1"/>
  <c r="K24" i="1"/>
  <c r="E25" i="1"/>
  <c r="R23" i="1"/>
  <c r="P23" i="1"/>
  <c r="Q23" i="1" s="1"/>
  <c r="N23" i="1"/>
  <c r="O23" i="1" s="1"/>
  <c r="E26" i="1" l="1"/>
  <c r="D25" i="1"/>
  <c r="G25" i="1"/>
  <c r="F25" i="1"/>
  <c r="K25" i="1" s="1"/>
  <c r="P24" i="1"/>
  <c r="Q24" i="1" s="1"/>
  <c r="N24" i="1"/>
  <c r="O24" i="1" s="1"/>
  <c r="R24" i="1"/>
  <c r="R25" i="1" l="1"/>
  <c r="P25" i="1"/>
  <c r="Q25" i="1" s="1"/>
  <c r="N25" i="1"/>
  <c r="O25" i="1" s="1"/>
  <c r="G26" i="1"/>
  <c r="F26" i="1"/>
  <c r="D26" i="1"/>
  <c r="K26" i="1"/>
  <c r="E27" i="1"/>
  <c r="R26" i="1" l="1"/>
  <c r="P26" i="1"/>
  <c r="Q26" i="1" s="1"/>
  <c r="N26" i="1"/>
  <c r="O26" i="1" s="1"/>
  <c r="E28" i="1"/>
  <c r="D27" i="1"/>
  <c r="G27" i="1"/>
  <c r="F27" i="1"/>
  <c r="K27" i="1" s="1"/>
  <c r="D28" i="1" l="1"/>
  <c r="F28" i="1"/>
  <c r="K28" i="1" s="1"/>
  <c r="G28" i="1"/>
  <c r="E29" i="1"/>
  <c r="R27" i="1"/>
  <c r="P27" i="1"/>
  <c r="Q27" i="1" s="1"/>
  <c r="N27" i="1"/>
  <c r="O27" i="1" s="1"/>
  <c r="G29" i="1" l="1"/>
  <c r="F29" i="1"/>
  <c r="K29" i="1" s="1"/>
  <c r="D29" i="1"/>
  <c r="P28" i="1"/>
  <c r="Q28" i="1" s="1"/>
  <c r="R28" i="1"/>
  <c r="N28" i="1"/>
  <c r="O28" i="1" s="1"/>
  <c r="R29" i="1" l="1"/>
  <c r="P29" i="1"/>
  <c r="Q29" i="1" s="1"/>
  <c r="N29" i="1"/>
  <c r="O29" i="1" s="1"/>
</calcChain>
</file>

<file path=xl/sharedStrings.xml><?xml version="1.0" encoding="utf-8"?>
<sst xmlns="http://schemas.openxmlformats.org/spreadsheetml/2006/main" count="60" uniqueCount="59">
  <si>
    <t>Term</t>
  </si>
  <si>
    <t>Factor</t>
  </si>
  <si>
    <t>(Intercept)</t>
  </si>
  <si>
    <t>SC period</t>
  </si>
  <si>
    <t>poly(pmin(0, Duration - SurrenderChargePeriod), 2, raw = TRUE)1</t>
  </si>
  <si>
    <t>Income start year</t>
  </si>
  <si>
    <t>poly(pmin(0, Duration - SurrenderChargePeriod), 2, raw = TRUE)2</t>
  </si>
  <si>
    <t>Benefit base</t>
  </si>
  <si>
    <t>IncomeStartedY</t>
  </si>
  <si>
    <t>Benefit_Base_Bucket[100000, 200000)</t>
  </si>
  <si>
    <t>Benefit base bucket</t>
  </si>
  <si>
    <t>Benefit_Base_Bucket[200000, Inf)</t>
  </si>
  <si>
    <t>Shock year</t>
  </si>
  <si>
    <t>Policy Year</t>
  </si>
  <si>
    <t>Duration - SC period</t>
  </si>
  <si>
    <t>Income started</t>
  </si>
  <si>
    <t>[50000,100000)</t>
  </si>
  <si>
    <t>[100000,200000)</t>
  </si>
  <si>
    <t>[200000, Inf)</t>
  </si>
  <si>
    <t>Post-SC term</t>
  </si>
  <si>
    <t>BB / AV (nominal ITMness)</t>
  </si>
  <si>
    <t>Change in treasury rates</t>
  </si>
  <si>
    <t>Final lapse rate</t>
  </si>
  <si>
    <t>Non-dynamic</t>
  </si>
  <si>
    <t>Dynamic</t>
  </si>
  <si>
    <t>Skew</t>
  </si>
  <si>
    <t>Benefit_Base_Bucket[50000, 100000)</t>
  </si>
  <si>
    <t>Even except for shock year (shock year shown below)</t>
  </si>
  <si>
    <t>I(pmax(0, 4 - Duration))</t>
  </si>
  <si>
    <t>SurrenderChargePeriod</t>
  </si>
  <si>
    <t>Month in policy year</t>
  </si>
  <si>
    <t>I(Duration == SurrenderChargePeriod + 1)TRUE</t>
  </si>
  <si>
    <t>poly(if_else(Duration &gt; SurrenderChargePeriod, 1, 0)/pmax(1, pmin(3, Duration - SurrenderChargePeriod)), 2, raw = TRUE)1</t>
  </si>
  <si>
    <t>poly(if_else(Duration &gt; SurrenderChargePeriod, 1, 0)/pmax(1, pmin(3, Duration - SurrenderChargePeriod)), 2, raw = TRUE)2</t>
  </si>
  <si>
    <t>I(pmax(0.5, pmin(1, ITMness)))</t>
  </si>
  <si>
    <t>I(pmax(1, pmin(2, ITMness)))</t>
  </si>
  <si>
    <t>I(pmax(0, ChangeInTreasury))</t>
  </si>
  <si>
    <t>poly(pmin(0, Duration - SurrenderChargePeriod), 2, raw = TRUE)1:IncomeStartedY</t>
  </si>
  <si>
    <t>poly(pmin(0, Duration - SurrenderChargePeriod), 2, raw = TRUE)2:IncomeStartedY</t>
  </si>
  <si>
    <t>poly(pmin(0, Duration - SurrenderChargePeriod), 2, raw = TRUE)1:Benefit_Base_Bucket[100000, 200000)</t>
  </si>
  <si>
    <t>poly(pmin(0, Duration - SurrenderChargePeriod), 2, raw = TRUE)2:Benefit_Base_Bucket[100000, 200000)</t>
  </si>
  <si>
    <t>poly(pmin(0, Duration - SurrenderChargePeriod), 2, raw = TRUE)1:Benefit_Base_Bucket[200000, Inf)</t>
  </si>
  <si>
    <t>poly(pmin(0, Duration - SurrenderChargePeriod), 2, raw = TRUE)2:Benefit_Base_Bucket[200000, Inf)</t>
  </si>
  <si>
    <t>poly(pmin(0, Duration - SurrenderChargePeriod), 2, raw = TRUE)1:Benefit_Base_Bucket[50000, 100000)</t>
  </si>
  <si>
    <t>poly(pmin(0, Duration - SurrenderChargePeriod), 2, raw = TRUE)2:Benefit_Base_Bucket[50000, 100000)</t>
  </si>
  <si>
    <t>IncomeStartedY:Benefit_Base_Bucket[100000, 200000)</t>
  </si>
  <si>
    <t>IncomeStartedY:Benefit_Base_Bucket[200000, Inf)</t>
  </si>
  <si>
    <t>IncomeStartedY:Benefit_Base_Bucket[50000, 100000)</t>
  </si>
  <si>
    <t>IncomeStartedY:I(Duration == SurrenderChargePeriod + 1)TRUE</t>
  </si>
  <si>
    <t>Benefit_Base_Bucket[100000, 200000):I(Duration == SurrenderChargePeriod + 1)TRUE</t>
  </si>
  <si>
    <t>Benefit_Base_Bucket[200000, Inf):I(Duration == SurrenderChargePeriod + 1)TRUE</t>
  </si>
  <si>
    <t>Benefit_Base_Bucket[50000, 100000):I(Duration == SurrenderChargePeriod + 1)TRUE</t>
  </si>
  <si>
    <t>Benefit_Base_Bucket[100000, 200000):poly(if_else(Duration &gt; SurrenderChargePeriod, 1, 0)/pmax(1, pmin(3, Duration - SurrenderChargePeriod)), 2, raw = TRUE)1</t>
  </si>
  <si>
    <t>Benefit_Base_Bucket[200000, Inf):poly(if_else(Duration &gt; SurrenderChargePeriod, 1, 0)/pmax(1, pmin(3, Duration - SurrenderChargePeriod)), 2, raw = TRUE)1</t>
  </si>
  <si>
    <t>Benefit_Base_Bucket[50000, 100000):poly(if_else(Duration &gt; SurrenderChargePeriod, 1, 0)/pmax(1, pmin(3, Duration - SurrenderChargePeriod)), 2, raw = TRUE)1</t>
  </si>
  <si>
    <t>Benefit_Base_Bucket[100000, 200000):poly(if_else(Duration &gt; SurrenderChargePeriod, 1, 0)/pmax(1, pmin(3, Duration - SurrenderChargePeriod)), 2, raw = TRUE)2</t>
  </si>
  <si>
    <t>Benefit_Base_Bucket[200000, Inf):poly(if_else(Duration &gt; SurrenderChargePeriod, 1, 0)/pmax(1, pmin(3, Duration - SurrenderChargePeriod)), 2, raw = TRUE)2</t>
  </si>
  <si>
    <t>Benefit_Base_Bucket[50000, 100000):poly(if_else(Duration &gt; SurrenderChargePeriod, 1, 0)/pmax(1, pmin(3, Duration - SurrenderChargePeriod)), 2, raw = TRUE)2</t>
  </si>
  <si>
    <t>IncomeStartedY:I(pmax(0.5, pmin(1, ITMness)))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</si>
</sst>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5">
    <xf numFmtId="0" fontId="0" fillId="0" borderId="0" xfId="0"/>
    <xf numFmtId="0" fontId="2" fillId="2" borderId="1" xfId="2"/>
    <xf numFmtId="164" fontId="0" fillId="0" borderId="0" xfId="1" applyNumberFormat="1" applyFont="1"/>
    <xf numFmtId="165" fontId="0" fillId="0" borderId="0" xfId="1" applyNumberFormat="1" applyFont="1"/>
    <xf numFmtId="9" fontId="0" fillId="0" borderId="0" xfId="0" applyNumberFormat="1"/>
  </cellXfs>
  <cellStyles count="3">
    <cellStyle name="Input" xfId="2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ramerHowell\Documents\Trellis%20-%20Reference%20Rate%20Calculator%2020250926.xlsm" TargetMode="External"/><Relationship Id="rId1" Type="http://schemas.openxmlformats.org/officeDocument/2006/relationships/externalLinkPath" Target="Trellis%20-%20Reference%20Rate%20Calculator%20202509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ramerHowell\Documents\Trellis%20deal%20model%202025%2009%2017%20with%20reference%20rate%20calculator.xlsx" TargetMode="External"/><Relationship Id="rId1" Type="http://schemas.openxmlformats.org/officeDocument/2006/relationships/externalLinkPath" Target="Trellis%20deal%20model%202025%2009%2017%20with%20reference%20rate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erence rate approach"/>
      <sheetName val="Single cohort"/>
      <sheetName val="Calculation example"/>
      <sheetName val="Calculation example (2)"/>
      <sheetName val="Product features "/>
      <sheetName val="Assumptions -&gt;"/>
      <sheetName val="Pricing inforce"/>
      <sheetName val="Surrender predictive model"/>
      <sheetName val="Non-systematic PWDs"/>
      <sheetName val="Mortal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Net yield"/>
      <sheetName val="B_MYGA"/>
      <sheetName val="B_GLWB"/>
      <sheetName val="Remove hedge gains"/>
      <sheetName val="Full tax benefit"/>
      <sheetName val="Reflect Munich hedging"/>
      <sheetName val="Fix overrides"/>
      <sheetName val="Coinsurance"/>
      <sheetName val="Coinsurance (with NOL)"/>
      <sheetName val="COF approach"/>
      <sheetName val="COF demonstration over time"/>
      <sheetName val="Output&gt;&gt;"/>
      <sheetName val="GLWB"/>
      <sheetName val="MYGA"/>
    </sheetNames>
    <sheetDataSet>
      <sheetData sheetId="0">
        <row r="3">
          <cell r="C3">
            <v>0.21</v>
          </cell>
        </row>
        <row r="4">
          <cell r="C4">
            <v>1</v>
          </cell>
        </row>
        <row r="5">
          <cell r="C5">
            <v>0.02</v>
          </cell>
        </row>
        <row r="6">
          <cell r="C6">
            <v>8.5000000000000006E-3</v>
          </cell>
        </row>
        <row r="7">
          <cell r="C7">
            <v>0.91</v>
          </cell>
        </row>
        <row r="8">
          <cell r="C8">
            <v>1.5E-3</v>
          </cell>
        </row>
        <row r="9">
          <cell r="C9">
            <v>0</v>
          </cell>
        </row>
        <row r="12">
          <cell r="C12">
            <v>0.4</v>
          </cell>
        </row>
        <row r="13">
          <cell r="C13">
            <v>0.02</v>
          </cell>
        </row>
        <row r="16">
          <cell r="C16">
            <v>4.4999999999999998E-2</v>
          </cell>
        </row>
        <row r="17">
          <cell r="C17">
            <v>0</v>
          </cell>
        </row>
        <row r="18">
          <cell r="C18">
            <v>0.01</v>
          </cell>
        </row>
        <row r="19">
          <cell r="C19">
            <v>0</v>
          </cell>
        </row>
        <row r="22">
          <cell r="C22">
            <v>1.0200000000000001E-2</v>
          </cell>
        </row>
        <row r="23">
          <cell r="C23">
            <v>1.5800000000000002E-2</v>
          </cell>
        </row>
        <row r="24">
          <cell r="C24">
            <v>0.35</v>
          </cell>
        </row>
        <row r="25">
          <cell r="C25">
            <v>5.0000000000000001E-3</v>
          </cell>
        </row>
        <row r="26">
          <cell r="C26">
            <v>0.02</v>
          </cell>
        </row>
        <row r="27">
          <cell r="C27">
            <v>3.25</v>
          </cell>
        </row>
        <row r="28">
          <cell r="C28">
            <v>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ED7A-A5A0-449D-B244-BB27ED547C75}">
  <sheetPr codeName="Sheet8">
    <tabColor theme="6"/>
  </sheetPr>
  <dimension ref="A1:U38"/>
  <sheetViews>
    <sheetView showGridLines="0" tabSelected="1" zoomScale="85" zoomScaleNormal="85" workbookViewId="0">
      <selection activeCell="A8" sqref="A8"/>
    </sheetView>
  </sheetViews>
  <sheetFormatPr defaultRowHeight="14.5" x14ac:dyDescent="0.35"/>
  <cols>
    <col min="1" max="1" width="135" customWidth="1"/>
  </cols>
  <sheetData>
    <row r="1" spans="1:21" x14ac:dyDescent="0.35">
      <c r="A1" t="s">
        <v>0</v>
      </c>
      <c r="B1" t="s">
        <v>1</v>
      </c>
    </row>
    <row r="2" spans="1:21" x14ac:dyDescent="0.35">
      <c r="A2" t="s">
        <v>2</v>
      </c>
      <c r="B2">
        <v>0.93109863275856697</v>
      </c>
      <c r="E2" t="s">
        <v>3</v>
      </c>
      <c r="F2" s="1">
        <v>10</v>
      </c>
    </row>
    <row r="3" spans="1:21" x14ac:dyDescent="0.35">
      <c r="A3" t="s">
        <v>4</v>
      </c>
      <c r="B3">
        <v>0.15320084932147501</v>
      </c>
      <c r="E3" t="s">
        <v>5</v>
      </c>
      <c r="F3" s="1">
        <v>5</v>
      </c>
    </row>
    <row r="4" spans="1:21" x14ac:dyDescent="0.35">
      <c r="A4" t="s">
        <v>6</v>
      </c>
      <c r="B4">
        <v>1.3774243574472601E-3</v>
      </c>
      <c r="E4" t="s">
        <v>7</v>
      </c>
      <c r="F4" s="1">
        <v>27000</v>
      </c>
    </row>
    <row r="5" spans="1:21" x14ac:dyDescent="0.35">
      <c r="A5" t="s">
        <v>8</v>
      </c>
      <c r="B5">
        <v>-2.4189145876625702</v>
      </c>
    </row>
    <row r="6" spans="1:21" x14ac:dyDescent="0.35">
      <c r="A6" t="s">
        <v>9</v>
      </c>
      <c r="B6">
        <v>-0.24998567639018801</v>
      </c>
      <c r="H6" t="s">
        <v>10</v>
      </c>
    </row>
    <row r="7" spans="1:21" x14ac:dyDescent="0.35">
      <c r="A7" t="s">
        <v>11</v>
      </c>
      <c r="B7">
        <v>-0.33872947332079201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O7" t="s">
        <v>22</v>
      </c>
      <c r="Q7" t="s">
        <v>23</v>
      </c>
      <c r="R7" t="s">
        <v>24</v>
      </c>
      <c r="T7" t="s">
        <v>25</v>
      </c>
    </row>
    <row r="8" spans="1:21" x14ac:dyDescent="0.35">
      <c r="A8" t="s">
        <v>26</v>
      </c>
      <c r="B8">
        <v>-0.15740082264781299</v>
      </c>
      <c r="D8">
        <f>IF(E8=$F$2+1,1,0)</f>
        <v>0</v>
      </c>
      <c r="E8">
        <v>1</v>
      </c>
      <c r="F8">
        <f>E8-$F$2</f>
        <v>-9</v>
      </c>
      <c r="G8">
        <f t="shared" ref="G8:G29" si="0">IF(E8&lt;$F$3,0,1)</f>
        <v>0</v>
      </c>
      <c r="H8">
        <f t="shared" ref="H8:H29" si="1">IF($F$4&gt;=50000,1,0)-SUM(I8:J8)</f>
        <v>0</v>
      </c>
      <c r="I8">
        <f t="shared" ref="I8:I29" si="2">IF($F$4&gt;=100000,1,0)-J8</f>
        <v>0</v>
      </c>
      <c r="J8">
        <f t="shared" ref="J8:J29" si="3">IF($F$4&gt;=200000,1,0)</f>
        <v>0</v>
      </c>
      <c r="K8">
        <f>IF(E8&gt;$F$2,1,0)/MAX(1,MIN(3,F8))</f>
        <v>0</v>
      </c>
      <c r="L8" s="1">
        <v>1.3</v>
      </c>
      <c r="M8">
        <v>0</v>
      </c>
      <c r="N8">
        <f t="shared" ref="N8:N29" si="4">$B$2+$B$3*MIN(0,F8)+$B$4*MIN(0,F8)^2+G8*$B$5+$B$6*I8+$B$7*J8+$B$8*H8+$B$9*MAX(0,4-E8)+$B$10*$F$2+$B$11*D8+$B$12*K8+$B$13*K8^2+$B$14*MAX(0.5,MIN(1,L8))+$B$15*MAX(1,MIN(2,L8))+$B$16*M8+$B$17*G8*MIN(0,F8)+$B$18*G8*MIN(0,F8)^2+$B$19*I8*MIN(0,F8)+$B$20*I8*MIN(0, F8)^2+$B$21*J8*MIN(0, F8)+$B$22*J8*MIN(0, F8)^2+$B$23*H8*MIN(0, F8)+$B$24*H8*MIN(0, F8)^2+$B$25*G8*I8+$B$26*G8*J8+$B$27*G8*H8+$B$28*G8*D8+$B$29*D8*I8+$B$30*J8*D8+$B$31*H8*D8+$B$32*K8*I8+$B$33*J8*K8+$B$34*H8*K8+$B$35*I8*K8^2+$B$36*J8*K8^2+$B$37*H8*K8^2+$B$38*G8*MAX(0.5,MIN(1,L8))</f>
        <v>-5.3599271398372892</v>
      </c>
      <c r="O8" s="2">
        <f t="shared" ref="O8:O29" si="5">EXP(N8)</f>
        <v>4.7012486288450905E-3</v>
      </c>
      <c r="P8">
        <f t="shared" ref="P8:P29" si="6">$B$2+$B$3*MIN(0,F8)+$B$4*MIN(0,F8)^2+G8*$B$5+$B$6*I8+$B$7*J8+$B$8*H8+$B$9*MAX(0,4-E8)+$B$10*$F$2+$B$11*D8+$B$12*K8+$B$13*K8^2+$B$16*M8+$B$17*G8*MIN(0,F8)+$B$18*G8*MIN(0,F8)^2+$B$19*I8*MIN(0,F8)+$B$20*I8*MIN(0, F8)^2+$B$21*J8*MIN(0, F8)+$B$22*J8*MIN(0, F8)^2+$B$23*H8*MIN(0, F8)+$B$24*H8*MIN(0, F8)^2+$B$25*G8*I8+$B$26*G8*J8+$B$27*G8*H8+$B$28*G8*D8+$B$29*D8*I8+$B$30*J8*D8+$B$31*H8*D8+$B$32*K8*I8+$B$33*J8*K8+$B$34*H8*K8+$B$35*I8*K8^2+$B$36*J8*K8^2+$B$37*H8*K8^2</f>
        <v>-0.69375894360552703</v>
      </c>
      <c r="Q8">
        <f t="shared" ref="Q8:Q29" si="7">EXP(P8)</f>
        <v>0.4996942120216385</v>
      </c>
      <c r="T8" t="s">
        <v>27</v>
      </c>
    </row>
    <row r="9" spans="1:21" x14ac:dyDescent="0.35">
      <c r="A9" t="s">
        <v>28</v>
      </c>
      <c r="B9">
        <v>-0.35867487276128301</v>
      </c>
      <c r="D9">
        <f t="shared" ref="D9:D29" si="8">IF(E9=$F$2+1,1,0)</f>
        <v>0</v>
      </c>
      <c r="E9">
        <f>E8+1</f>
        <v>2</v>
      </c>
      <c r="F9">
        <f t="shared" ref="F9:F29" si="9">E9-$F$2</f>
        <v>-8</v>
      </c>
      <c r="G9">
        <f t="shared" si="0"/>
        <v>0</v>
      </c>
      <c r="H9">
        <f t="shared" si="1"/>
        <v>0</v>
      </c>
      <c r="I9">
        <f t="shared" si="2"/>
        <v>0</v>
      </c>
      <c r="J9">
        <f t="shared" si="3"/>
        <v>0</v>
      </c>
      <c r="K9">
        <f t="shared" ref="K9:K29" si="10">IF(E9&gt;$F$2,1,0)/MAX(1,MIN(3,F9))</f>
        <v>0</v>
      </c>
      <c r="L9" s="1">
        <v>1.3</v>
      </c>
      <c r="M9">
        <v>0</v>
      </c>
      <c r="N9">
        <f t="shared" si="4"/>
        <v>-4.8714676318311341</v>
      </c>
      <c r="O9" s="3">
        <f t="shared" si="5"/>
        <v>7.6621118727021632E-3</v>
      </c>
      <c r="P9">
        <f t="shared" si="6"/>
        <v>-0.20529943559937247</v>
      </c>
      <c r="Q9">
        <f t="shared" si="7"/>
        <v>0.81440341852162546</v>
      </c>
      <c r="R9">
        <f t="shared" ref="R9:R29" si="11">+$B$15*MAX(1,MIN(2,L9))+$B$14*MAX(0.5,MIN(1,L9))+$B$38*G9*MAX(0.5,MIN(1,L9))</f>
        <v>-4.6661681962317623</v>
      </c>
    </row>
    <row r="10" spans="1:21" x14ac:dyDescent="0.35">
      <c r="A10" t="s">
        <v>29</v>
      </c>
      <c r="B10">
        <v>7.1840331285980205E-2</v>
      </c>
      <c r="D10">
        <f t="shared" si="8"/>
        <v>0</v>
      </c>
      <c r="E10">
        <f t="shared" ref="E10:E29" si="12">E9+1</f>
        <v>3</v>
      </c>
      <c r="F10">
        <f t="shared" si="9"/>
        <v>-7</v>
      </c>
      <c r="G10">
        <f t="shared" si="0"/>
        <v>0</v>
      </c>
      <c r="H10">
        <f t="shared" si="1"/>
        <v>0</v>
      </c>
      <c r="I10">
        <f t="shared" si="2"/>
        <v>0</v>
      </c>
      <c r="J10">
        <f t="shared" si="3"/>
        <v>0</v>
      </c>
      <c r="K10">
        <f t="shared" si="10"/>
        <v>0</v>
      </c>
      <c r="L10" s="1">
        <v>1.3</v>
      </c>
      <c r="M10">
        <v>0</v>
      </c>
      <c r="N10">
        <f t="shared" si="4"/>
        <v>-4.3802532751100856</v>
      </c>
      <c r="O10" s="3">
        <f t="shared" si="5"/>
        <v>1.252218666119697E-2</v>
      </c>
      <c r="P10">
        <f t="shared" si="6"/>
        <v>0.2859149211216766</v>
      </c>
      <c r="Q10">
        <f t="shared" si="7"/>
        <v>1.3309792122166177</v>
      </c>
      <c r="R10">
        <f t="shared" si="11"/>
        <v>-4.6661681962317623</v>
      </c>
      <c r="T10" t="s">
        <v>30</v>
      </c>
      <c r="U10" t="s">
        <v>25</v>
      </c>
    </row>
    <row r="11" spans="1:21" x14ac:dyDescent="0.35">
      <c r="A11" t="s">
        <v>31</v>
      </c>
      <c r="B11">
        <v>2.1347278279244399</v>
      </c>
      <c r="D11">
        <f t="shared" si="8"/>
        <v>0</v>
      </c>
      <c r="E11">
        <f t="shared" si="12"/>
        <v>4</v>
      </c>
      <c r="F11">
        <f t="shared" si="9"/>
        <v>-6</v>
      </c>
      <c r="G11">
        <f t="shared" si="0"/>
        <v>0</v>
      </c>
      <c r="H11">
        <f t="shared" si="1"/>
        <v>0</v>
      </c>
      <c r="I11">
        <f t="shared" si="2"/>
        <v>0</v>
      </c>
      <c r="J11">
        <f t="shared" si="3"/>
        <v>0</v>
      </c>
      <c r="K11">
        <f t="shared" si="10"/>
        <v>0</v>
      </c>
      <c r="L11" s="1">
        <v>1.3</v>
      </c>
      <c r="M11">
        <v>0</v>
      </c>
      <c r="N11">
        <f t="shared" si="4"/>
        <v>-3.8862840696741419</v>
      </c>
      <c r="O11" s="3">
        <f t="shared" si="5"/>
        <v>2.0521460850388976E-2</v>
      </c>
      <c r="P11">
        <f t="shared" si="6"/>
        <v>0.77988412655762041</v>
      </c>
      <c r="Q11">
        <f t="shared" si="7"/>
        <v>2.1812195054417138</v>
      </c>
      <c r="R11">
        <f t="shared" si="11"/>
        <v>-4.6661681962317623</v>
      </c>
      <c r="T11">
        <v>1</v>
      </c>
      <c r="U11" s="4">
        <v>0.4</v>
      </c>
    </row>
    <row r="12" spans="1:21" x14ac:dyDescent="0.35">
      <c r="A12" t="s">
        <v>32</v>
      </c>
      <c r="B12">
        <v>3.3150546517247301</v>
      </c>
      <c r="D12">
        <f t="shared" si="8"/>
        <v>0</v>
      </c>
      <c r="E12">
        <f t="shared" si="12"/>
        <v>5</v>
      </c>
      <c r="F12">
        <f t="shared" si="9"/>
        <v>-5</v>
      </c>
      <c r="G12">
        <f t="shared" si="0"/>
        <v>1</v>
      </c>
      <c r="H12">
        <f t="shared" si="1"/>
        <v>0</v>
      </c>
      <c r="I12">
        <f t="shared" si="2"/>
        <v>0</v>
      </c>
      <c r="J12">
        <f t="shared" si="3"/>
        <v>0</v>
      </c>
      <c r="K12">
        <f t="shared" si="10"/>
        <v>0</v>
      </c>
      <c r="L12" s="1">
        <v>1.3</v>
      </c>
      <c r="M12">
        <v>0</v>
      </c>
      <c r="N12">
        <f t="shared" si="4"/>
        <v>-4.3765204364248547</v>
      </c>
      <c r="O12" s="3">
        <f t="shared" si="5"/>
        <v>1.2569017315249608E-2</v>
      </c>
      <c r="P12">
        <f t="shared" si="6"/>
        <v>-1.2464544573630421</v>
      </c>
      <c r="Q12">
        <f t="shared" si="7"/>
        <v>0.28752241477096774</v>
      </c>
      <c r="R12">
        <f t="shared" si="11"/>
        <v>-3.1300659790618122</v>
      </c>
      <c r="T12">
        <v>2</v>
      </c>
      <c r="U12" s="4">
        <v>0.3</v>
      </c>
    </row>
    <row r="13" spans="1:21" x14ac:dyDescent="0.35">
      <c r="A13" t="s">
        <v>33</v>
      </c>
      <c r="B13">
        <v>-4.2144968129982496</v>
      </c>
      <c r="D13">
        <f t="shared" si="8"/>
        <v>0</v>
      </c>
      <c r="E13">
        <f t="shared" si="12"/>
        <v>6</v>
      </c>
      <c r="F13">
        <f t="shared" si="9"/>
        <v>-4</v>
      </c>
      <c r="G13">
        <f t="shared" si="0"/>
        <v>1</v>
      </c>
      <c r="H13">
        <f t="shared" si="1"/>
        <v>0</v>
      </c>
      <c r="I13">
        <f t="shared" si="2"/>
        <v>0</v>
      </c>
      <c r="J13">
        <f t="shared" si="3"/>
        <v>0</v>
      </c>
      <c r="K13">
        <f t="shared" si="10"/>
        <v>0</v>
      </c>
      <c r="L13" s="1">
        <v>1.3</v>
      </c>
      <c r="M13">
        <v>0</v>
      </c>
      <c r="N13">
        <f t="shared" si="4"/>
        <v>-4.2893129960400564</v>
      </c>
      <c r="O13" s="3">
        <f t="shared" si="5"/>
        <v>1.3714343870242954E-2</v>
      </c>
      <c r="P13">
        <f t="shared" si="6"/>
        <v>-1.1592470169782436</v>
      </c>
      <c r="Q13">
        <f t="shared" si="7"/>
        <v>0.31372231954741064</v>
      </c>
      <c r="R13">
        <f t="shared" si="11"/>
        <v>-3.1300659790618122</v>
      </c>
      <c r="T13">
        <v>3</v>
      </c>
      <c r="U13" s="4">
        <v>0.2</v>
      </c>
    </row>
    <row r="14" spans="1:21" x14ac:dyDescent="0.35">
      <c r="A14" t="s">
        <v>34</v>
      </c>
      <c r="B14">
        <v>-3.1618444700694401</v>
      </c>
      <c r="D14">
        <f t="shared" si="8"/>
        <v>0</v>
      </c>
      <c r="E14">
        <f t="shared" si="12"/>
        <v>7</v>
      </c>
      <c r="F14">
        <f t="shared" si="9"/>
        <v>-3</v>
      </c>
      <c r="G14">
        <f t="shared" si="0"/>
        <v>1</v>
      </c>
      <c r="H14">
        <f t="shared" si="1"/>
        <v>0</v>
      </c>
      <c r="I14">
        <f t="shared" si="2"/>
        <v>0</v>
      </c>
      <c r="J14">
        <f t="shared" si="3"/>
        <v>0</v>
      </c>
      <c r="K14">
        <f t="shared" si="10"/>
        <v>0</v>
      </c>
      <c r="L14" s="1">
        <v>1.3</v>
      </c>
      <c r="M14">
        <v>0</v>
      </c>
      <c r="N14">
        <f t="shared" si="4"/>
        <v>-4.1980050943157723</v>
      </c>
      <c r="O14" s="3">
        <f t="shared" si="5"/>
        <v>1.5025521440330574E-2</v>
      </c>
      <c r="P14">
        <f t="shared" si="6"/>
        <v>-1.0679391152539606</v>
      </c>
      <c r="Q14">
        <f t="shared" si="7"/>
        <v>0.34371614736143735</v>
      </c>
      <c r="R14">
        <f t="shared" si="11"/>
        <v>-3.1300659790618122</v>
      </c>
      <c r="T14">
        <v>4</v>
      </c>
      <c r="U14">
        <f>10%/12</f>
        <v>8.3333333333333332E-3</v>
      </c>
    </row>
    <row r="15" spans="1:21" x14ac:dyDescent="0.35">
      <c r="A15" t="s">
        <v>35</v>
      </c>
      <c r="B15">
        <v>-1.15717209704794</v>
      </c>
      <c r="D15">
        <f t="shared" si="8"/>
        <v>0</v>
      </c>
      <c r="E15">
        <f t="shared" si="12"/>
        <v>8</v>
      </c>
      <c r="F15">
        <f t="shared" si="9"/>
        <v>-2</v>
      </c>
      <c r="G15">
        <f t="shared" si="0"/>
        <v>1</v>
      </c>
      <c r="H15">
        <f t="shared" si="1"/>
        <v>0</v>
      </c>
      <c r="I15">
        <f t="shared" si="2"/>
        <v>0</v>
      </c>
      <c r="J15">
        <f t="shared" si="3"/>
        <v>0</v>
      </c>
      <c r="K15">
        <f t="shared" si="10"/>
        <v>0</v>
      </c>
      <c r="L15" s="1">
        <v>1.3</v>
      </c>
      <c r="M15">
        <v>0</v>
      </c>
      <c r="N15">
        <f t="shared" si="4"/>
        <v>-4.1025967312520049</v>
      </c>
      <c r="O15" s="3">
        <f t="shared" si="5"/>
        <v>1.652969644416798E-2</v>
      </c>
      <c r="P15">
        <f t="shared" si="6"/>
        <v>-0.97253075219019236</v>
      </c>
      <c r="Q15">
        <f t="shared" si="7"/>
        <v>0.37812488580885317</v>
      </c>
      <c r="R15">
        <f t="shared" si="11"/>
        <v>-3.1300659790618122</v>
      </c>
      <c r="T15">
        <v>5</v>
      </c>
      <c r="U15">
        <f t="shared" ref="U15:U22" si="13">10%/12</f>
        <v>8.3333333333333332E-3</v>
      </c>
    </row>
    <row r="16" spans="1:21" x14ac:dyDescent="0.35">
      <c r="A16" t="s">
        <v>36</v>
      </c>
      <c r="B16">
        <v>35.440809707731603</v>
      </c>
      <c r="D16">
        <f t="shared" si="8"/>
        <v>0</v>
      </c>
      <c r="E16">
        <f t="shared" si="12"/>
        <v>9</v>
      </c>
      <c r="F16">
        <f t="shared" si="9"/>
        <v>-1</v>
      </c>
      <c r="G16">
        <f t="shared" si="0"/>
        <v>1</v>
      </c>
      <c r="H16">
        <f t="shared" si="1"/>
        <v>0</v>
      </c>
      <c r="I16">
        <f t="shared" si="2"/>
        <v>0</v>
      </c>
      <c r="J16">
        <f t="shared" si="3"/>
        <v>0</v>
      </c>
      <c r="K16">
        <f t="shared" si="10"/>
        <v>0</v>
      </c>
      <c r="L16" s="1">
        <v>1.3</v>
      </c>
      <c r="M16">
        <v>0</v>
      </c>
      <c r="N16">
        <f t="shared" si="4"/>
        <v>-4.0030879068487515</v>
      </c>
      <c r="O16" s="3">
        <f t="shared" si="5"/>
        <v>1.825916913351306E-2</v>
      </c>
      <c r="P16">
        <f t="shared" si="6"/>
        <v>-0.87302192778693932</v>
      </c>
      <c r="Q16">
        <f t="shared" si="7"/>
        <v>0.41768741893685052</v>
      </c>
      <c r="R16">
        <f t="shared" si="11"/>
        <v>-3.1300659790618122</v>
      </c>
      <c r="T16">
        <v>6</v>
      </c>
      <c r="U16">
        <f t="shared" si="13"/>
        <v>8.3333333333333332E-3</v>
      </c>
    </row>
    <row r="17" spans="1:21" x14ac:dyDescent="0.35">
      <c r="A17" t="s">
        <v>37</v>
      </c>
      <c r="B17">
        <v>-4.7541332908994399E-2</v>
      </c>
      <c r="D17">
        <f t="shared" si="8"/>
        <v>0</v>
      </c>
      <c r="E17">
        <f t="shared" si="12"/>
        <v>10</v>
      </c>
      <c r="F17">
        <f t="shared" si="9"/>
        <v>0</v>
      </c>
      <c r="G17">
        <f t="shared" si="0"/>
        <v>1</v>
      </c>
      <c r="H17">
        <f t="shared" si="1"/>
        <v>0</v>
      </c>
      <c r="I17">
        <f t="shared" si="2"/>
        <v>0</v>
      </c>
      <c r="J17">
        <f t="shared" si="3"/>
        <v>0</v>
      </c>
      <c r="K17">
        <f t="shared" si="10"/>
        <v>0</v>
      </c>
      <c r="L17" s="1">
        <v>1.3</v>
      </c>
      <c r="M17">
        <v>0</v>
      </c>
      <c r="N17">
        <f t="shared" si="4"/>
        <v>-3.899478621106014</v>
      </c>
      <c r="O17" s="3">
        <f t="shared" si="5"/>
        <v>2.0252467902923999E-2</v>
      </c>
      <c r="P17">
        <f t="shared" si="6"/>
        <v>-0.76941264204420123</v>
      </c>
      <c r="Q17">
        <f t="shared" si="7"/>
        <v>0.46328510260347161</v>
      </c>
      <c r="R17">
        <f t="shared" si="11"/>
        <v>-3.1300659790618122</v>
      </c>
      <c r="T17">
        <v>7</v>
      </c>
      <c r="U17">
        <f t="shared" si="13"/>
        <v>8.3333333333333332E-3</v>
      </c>
    </row>
    <row r="18" spans="1:21" x14ac:dyDescent="0.35">
      <c r="A18" t="s">
        <v>38</v>
      </c>
      <c r="B18">
        <v>6.72806312295235E-4</v>
      </c>
      <c r="D18">
        <f t="shared" si="8"/>
        <v>1</v>
      </c>
      <c r="E18">
        <f t="shared" si="12"/>
        <v>11</v>
      </c>
      <c r="F18">
        <f t="shared" si="9"/>
        <v>1</v>
      </c>
      <c r="G18">
        <f t="shared" si="0"/>
        <v>1</v>
      </c>
      <c r="H18">
        <f t="shared" si="1"/>
        <v>0</v>
      </c>
      <c r="I18">
        <f t="shared" si="2"/>
        <v>0</v>
      </c>
      <c r="J18">
        <f t="shared" si="3"/>
        <v>0</v>
      </c>
      <c r="K18">
        <f t="shared" si="10"/>
        <v>1</v>
      </c>
      <c r="L18" s="1">
        <v>1.3</v>
      </c>
      <c r="M18">
        <v>0</v>
      </c>
      <c r="N18">
        <f t="shared" si="4"/>
        <v>-2.9812813954511164</v>
      </c>
      <c r="O18" s="3">
        <f t="shared" si="5"/>
        <v>5.0727789841092878E-2</v>
      </c>
      <c r="P18">
        <f t="shared" si="6"/>
        <v>0.14878458361069552</v>
      </c>
      <c r="Q18">
        <f t="shared" si="7"/>
        <v>1.1604229881527162</v>
      </c>
      <c r="R18">
        <f t="shared" si="11"/>
        <v>-3.1300659790618122</v>
      </c>
      <c r="T18">
        <v>8</v>
      </c>
      <c r="U18">
        <f t="shared" si="13"/>
        <v>8.3333333333333332E-3</v>
      </c>
    </row>
    <row r="19" spans="1:21" x14ac:dyDescent="0.35">
      <c r="A19" t="s">
        <v>39</v>
      </c>
      <c r="B19">
        <v>7.6314905050196599E-2</v>
      </c>
      <c r="D19">
        <f t="shared" si="8"/>
        <v>0</v>
      </c>
      <c r="E19">
        <f t="shared" si="12"/>
        <v>12</v>
      </c>
      <c r="F19">
        <f t="shared" si="9"/>
        <v>2</v>
      </c>
      <c r="G19">
        <f t="shared" si="0"/>
        <v>1</v>
      </c>
      <c r="H19">
        <f t="shared" si="1"/>
        <v>0</v>
      </c>
      <c r="I19">
        <f t="shared" si="2"/>
        <v>0</v>
      </c>
      <c r="J19">
        <f t="shared" si="3"/>
        <v>0</v>
      </c>
      <c r="K19">
        <f t="shared" si="10"/>
        <v>0.5</v>
      </c>
      <c r="L19" s="1">
        <v>1.3</v>
      </c>
      <c r="M19">
        <v>0</v>
      </c>
      <c r="N19">
        <f t="shared" si="4"/>
        <v>-3.2955754984932106</v>
      </c>
      <c r="O19" s="3">
        <f t="shared" si="5"/>
        <v>3.7046718580391942E-2</v>
      </c>
      <c r="P19">
        <f t="shared" si="6"/>
        <v>-0.16550951943139858</v>
      </c>
      <c r="Q19">
        <f t="shared" si="7"/>
        <v>0.84746179581209602</v>
      </c>
      <c r="R19">
        <f t="shared" si="11"/>
        <v>-3.1300659790618122</v>
      </c>
      <c r="T19">
        <v>9</v>
      </c>
      <c r="U19">
        <f t="shared" si="13"/>
        <v>8.3333333333333332E-3</v>
      </c>
    </row>
    <row r="20" spans="1:21" x14ac:dyDescent="0.35">
      <c r="A20" t="s">
        <v>40</v>
      </c>
      <c r="B20">
        <v>2.3442435418892498E-3</v>
      </c>
      <c r="D20">
        <f t="shared" si="8"/>
        <v>0</v>
      </c>
      <c r="E20">
        <f t="shared" si="12"/>
        <v>13</v>
      </c>
      <c r="F20">
        <f t="shared" si="9"/>
        <v>3</v>
      </c>
      <c r="G20">
        <f t="shared" si="0"/>
        <v>1</v>
      </c>
      <c r="H20">
        <f t="shared" si="1"/>
        <v>0</v>
      </c>
      <c r="I20">
        <f t="shared" si="2"/>
        <v>0</v>
      </c>
      <c r="J20">
        <f t="shared" si="3"/>
        <v>0</v>
      </c>
      <c r="K20">
        <f t="shared" si="10"/>
        <v>0.33333333333333331</v>
      </c>
      <c r="L20" s="1">
        <v>1.3</v>
      </c>
      <c r="M20">
        <v>0</v>
      </c>
      <c r="N20">
        <f t="shared" si="4"/>
        <v>-3.2627378275309091</v>
      </c>
      <c r="O20" s="3">
        <f t="shared" si="5"/>
        <v>3.8283440947330868E-2</v>
      </c>
      <c r="P20">
        <f t="shared" si="6"/>
        <v>-0.13267184846909685</v>
      </c>
      <c r="Q20">
        <f t="shared" si="7"/>
        <v>0.87575242446069601</v>
      </c>
      <c r="R20">
        <f t="shared" si="11"/>
        <v>-3.1300659790618122</v>
      </c>
      <c r="T20">
        <v>10</v>
      </c>
      <c r="U20">
        <f t="shared" si="13"/>
        <v>8.3333333333333332E-3</v>
      </c>
    </row>
    <row r="21" spans="1:21" x14ac:dyDescent="0.35">
      <c r="A21" t="s">
        <v>41</v>
      </c>
      <c r="B21">
        <v>5.7758420756084498E-2</v>
      </c>
      <c r="D21">
        <f t="shared" si="8"/>
        <v>0</v>
      </c>
      <c r="E21">
        <f t="shared" si="12"/>
        <v>14</v>
      </c>
      <c r="F21">
        <f t="shared" si="9"/>
        <v>4</v>
      </c>
      <c r="G21">
        <f t="shared" si="0"/>
        <v>1</v>
      </c>
      <c r="H21">
        <f t="shared" si="1"/>
        <v>0</v>
      </c>
      <c r="I21">
        <f t="shared" si="2"/>
        <v>0</v>
      </c>
      <c r="J21">
        <f t="shared" si="3"/>
        <v>0</v>
      </c>
      <c r="K21">
        <f t="shared" si="10"/>
        <v>0.33333333333333331</v>
      </c>
      <c r="L21" s="1">
        <v>1.3</v>
      </c>
      <c r="M21">
        <v>0</v>
      </c>
      <c r="N21">
        <f t="shared" si="4"/>
        <v>-3.2627378275309091</v>
      </c>
      <c r="O21" s="3">
        <f t="shared" si="5"/>
        <v>3.8283440947330868E-2</v>
      </c>
      <c r="P21">
        <f t="shared" si="6"/>
        <v>-0.13267184846909685</v>
      </c>
      <c r="Q21">
        <f t="shared" si="7"/>
        <v>0.87575242446069601</v>
      </c>
      <c r="R21">
        <f t="shared" si="11"/>
        <v>-3.1300659790618122</v>
      </c>
      <c r="T21">
        <v>11</v>
      </c>
      <c r="U21">
        <f t="shared" si="13"/>
        <v>8.3333333333333332E-3</v>
      </c>
    </row>
    <row r="22" spans="1:21" x14ac:dyDescent="0.35">
      <c r="A22" t="s">
        <v>42</v>
      </c>
      <c r="B22">
        <v>1.56198120112268E-3</v>
      </c>
      <c r="D22">
        <f t="shared" si="8"/>
        <v>0</v>
      </c>
      <c r="E22">
        <f t="shared" si="12"/>
        <v>15</v>
      </c>
      <c r="F22">
        <f t="shared" si="9"/>
        <v>5</v>
      </c>
      <c r="G22">
        <f t="shared" si="0"/>
        <v>1</v>
      </c>
      <c r="H22">
        <f t="shared" si="1"/>
        <v>0</v>
      </c>
      <c r="I22">
        <f t="shared" si="2"/>
        <v>0</v>
      </c>
      <c r="J22">
        <f t="shared" si="3"/>
        <v>0</v>
      </c>
      <c r="K22">
        <f t="shared" si="10"/>
        <v>0.33333333333333331</v>
      </c>
      <c r="L22" s="1">
        <v>1.3</v>
      </c>
      <c r="M22">
        <v>0</v>
      </c>
      <c r="N22">
        <f t="shared" si="4"/>
        <v>-3.2627378275309091</v>
      </c>
      <c r="O22" s="3">
        <f t="shared" si="5"/>
        <v>3.8283440947330868E-2</v>
      </c>
      <c r="P22">
        <f t="shared" si="6"/>
        <v>-0.13267184846909685</v>
      </c>
      <c r="Q22">
        <f t="shared" si="7"/>
        <v>0.87575242446069601</v>
      </c>
      <c r="R22">
        <f t="shared" si="11"/>
        <v>-3.1300659790618122</v>
      </c>
      <c r="T22">
        <v>12</v>
      </c>
      <c r="U22">
        <f t="shared" si="13"/>
        <v>8.3333333333333332E-3</v>
      </c>
    </row>
    <row r="23" spans="1:21" x14ac:dyDescent="0.35">
      <c r="A23" t="s">
        <v>43</v>
      </c>
      <c r="B23">
        <v>6.8253228344840905E-2</v>
      </c>
      <c r="D23">
        <f t="shared" si="8"/>
        <v>0</v>
      </c>
      <c r="E23">
        <f t="shared" si="12"/>
        <v>16</v>
      </c>
      <c r="F23">
        <f t="shared" si="9"/>
        <v>6</v>
      </c>
      <c r="G23">
        <f t="shared" si="0"/>
        <v>1</v>
      </c>
      <c r="H23">
        <f t="shared" si="1"/>
        <v>0</v>
      </c>
      <c r="I23">
        <f t="shared" si="2"/>
        <v>0</v>
      </c>
      <c r="J23">
        <f t="shared" si="3"/>
        <v>0</v>
      </c>
      <c r="K23">
        <f t="shared" si="10"/>
        <v>0.33333333333333331</v>
      </c>
      <c r="L23" s="1">
        <v>1.3</v>
      </c>
      <c r="M23">
        <v>0</v>
      </c>
      <c r="N23">
        <f t="shared" si="4"/>
        <v>-3.2627378275309091</v>
      </c>
      <c r="O23" s="3">
        <f t="shared" si="5"/>
        <v>3.8283440947330868E-2</v>
      </c>
      <c r="P23">
        <f t="shared" si="6"/>
        <v>-0.13267184846909685</v>
      </c>
      <c r="Q23">
        <f t="shared" si="7"/>
        <v>0.87575242446069601</v>
      </c>
      <c r="R23">
        <f t="shared" si="11"/>
        <v>-3.1300659790618122</v>
      </c>
    </row>
    <row r="24" spans="1:21" x14ac:dyDescent="0.35">
      <c r="A24" t="s">
        <v>44</v>
      </c>
      <c r="B24">
        <v>2.9154747299464201E-3</v>
      </c>
      <c r="D24">
        <f t="shared" si="8"/>
        <v>0</v>
      </c>
      <c r="E24">
        <f t="shared" si="12"/>
        <v>17</v>
      </c>
      <c r="F24">
        <f t="shared" si="9"/>
        <v>7</v>
      </c>
      <c r="G24">
        <f t="shared" si="0"/>
        <v>1</v>
      </c>
      <c r="H24">
        <f t="shared" si="1"/>
        <v>0</v>
      </c>
      <c r="I24">
        <f t="shared" si="2"/>
        <v>0</v>
      </c>
      <c r="J24">
        <f t="shared" si="3"/>
        <v>0</v>
      </c>
      <c r="K24">
        <f t="shared" si="10"/>
        <v>0.33333333333333331</v>
      </c>
      <c r="L24" s="1">
        <v>1.3</v>
      </c>
      <c r="M24">
        <v>0</v>
      </c>
      <c r="N24">
        <f t="shared" si="4"/>
        <v>-3.2627378275309091</v>
      </c>
      <c r="O24" s="3">
        <f t="shared" si="5"/>
        <v>3.8283440947330868E-2</v>
      </c>
      <c r="P24">
        <f t="shared" si="6"/>
        <v>-0.13267184846909685</v>
      </c>
      <c r="Q24">
        <f t="shared" si="7"/>
        <v>0.87575242446069601</v>
      </c>
      <c r="R24">
        <f t="shared" si="11"/>
        <v>-3.1300659790618122</v>
      </c>
    </row>
    <row r="25" spans="1:21" x14ac:dyDescent="0.35">
      <c r="A25" t="s">
        <v>45</v>
      </c>
      <c r="B25">
        <v>-0.13472877939696601</v>
      </c>
      <c r="D25">
        <f t="shared" si="8"/>
        <v>0</v>
      </c>
      <c r="E25">
        <f t="shared" si="12"/>
        <v>18</v>
      </c>
      <c r="F25">
        <f t="shared" si="9"/>
        <v>8</v>
      </c>
      <c r="G25">
        <f t="shared" si="0"/>
        <v>1</v>
      </c>
      <c r="H25">
        <f t="shared" si="1"/>
        <v>0</v>
      </c>
      <c r="I25">
        <f t="shared" si="2"/>
        <v>0</v>
      </c>
      <c r="J25">
        <f t="shared" si="3"/>
        <v>0</v>
      </c>
      <c r="K25">
        <f t="shared" si="10"/>
        <v>0.33333333333333331</v>
      </c>
      <c r="L25" s="1">
        <v>1.3</v>
      </c>
      <c r="M25">
        <v>0</v>
      </c>
      <c r="N25">
        <f t="shared" si="4"/>
        <v>-3.2627378275309091</v>
      </c>
      <c r="O25" s="3">
        <f t="shared" si="5"/>
        <v>3.8283440947330868E-2</v>
      </c>
      <c r="P25">
        <f t="shared" si="6"/>
        <v>-0.13267184846909685</v>
      </c>
      <c r="Q25">
        <f t="shared" si="7"/>
        <v>0.87575242446069601</v>
      </c>
      <c r="R25">
        <f t="shared" si="11"/>
        <v>-3.1300659790618122</v>
      </c>
    </row>
    <row r="26" spans="1:21" x14ac:dyDescent="0.35">
      <c r="A26" t="s">
        <v>46</v>
      </c>
      <c r="B26">
        <v>-6.5657611576184605E-2</v>
      </c>
      <c r="D26">
        <f t="shared" si="8"/>
        <v>0</v>
      </c>
      <c r="E26">
        <f t="shared" si="12"/>
        <v>19</v>
      </c>
      <c r="F26">
        <f t="shared" si="9"/>
        <v>9</v>
      </c>
      <c r="G26">
        <f t="shared" si="0"/>
        <v>1</v>
      </c>
      <c r="H26">
        <f t="shared" si="1"/>
        <v>0</v>
      </c>
      <c r="I26">
        <f t="shared" si="2"/>
        <v>0</v>
      </c>
      <c r="J26">
        <f t="shared" si="3"/>
        <v>0</v>
      </c>
      <c r="K26">
        <f t="shared" si="10"/>
        <v>0.33333333333333331</v>
      </c>
      <c r="L26" s="1">
        <v>1.3</v>
      </c>
      <c r="M26">
        <v>0</v>
      </c>
      <c r="N26">
        <f t="shared" si="4"/>
        <v>-3.2627378275309091</v>
      </c>
      <c r="O26" s="3">
        <f t="shared" si="5"/>
        <v>3.8283440947330868E-2</v>
      </c>
      <c r="P26">
        <f t="shared" si="6"/>
        <v>-0.13267184846909685</v>
      </c>
      <c r="Q26">
        <f t="shared" si="7"/>
        <v>0.87575242446069601</v>
      </c>
      <c r="R26">
        <f t="shared" si="11"/>
        <v>-3.1300659790618122</v>
      </c>
    </row>
    <row r="27" spans="1:21" x14ac:dyDescent="0.35">
      <c r="A27" t="s">
        <v>47</v>
      </c>
      <c r="B27">
        <v>-9.2572345572902295E-2</v>
      </c>
      <c r="D27">
        <f t="shared" si="8"/>
        <v>0</v>
      </c>
      <c r="E27">
        <f t="shared" si="12"/>
        <v>20</v>
      </c>
      <c r="F27">
        <f t="shared" si="9"/>
        <v>10</v>
      </c>
      <c r="G27">
        <f t="shared" si="0"/>
        <v>1</v>
      </c>
      <c r="H27">
        <f t="shared" si="1"/>
        <v>0</v>
      </c>
      <c r="I27">
        <f t="shared" si="2"/>
        <v>0</v>
      </c>
      <c r="J27">
        <f t="shared" si="3"/>
        <v>0</v>
      </c>
      <c r="K27">
        <f t="shared" si="10"/>
        <v>0.33333333333333331</v>
      </c>
      <c r="L27" s="1">
        <v>1.3</v>
      </c>
      <c r="M27">
        <v>0</v>
      </c>
      <c r="N27">
        <f t="shared" si="4"/>
        <v>-3.2627378275309091</v>
      </c>
      <c r="O27" s="3">
        <f t="shared" si="5"/>
        <v>3.8283440947330868E-2</v>
      </c>
      <c r="P27">
        <f t="shared" si="6"/>
        <v>-0.13267184846909685</v>
      </c>
      <c r="Q27">
        <f t="shared" si="7"/>
        <v>0.87575242446069601</v>
      </c>
      <c r="R27">
        <f t="shared" si="11"/>
        <v>-3.1300659790618122</v>
      </c>
    </row>
    <row r="28" spans="1:21" x14ac:dyDescent="0.35">
      <c r="A28" t="s">
        <v>48</v>
      </c>
      <c r="B28">
        <v>-0.31708844099602401</v>
      </c>
      <c r="D28">
        <f t="shared" si="8"/>
        <v>0</v>
      </c>
      <c r="E28">
        <f t="shared" si="12"/>
        <v>21</v>
      </c>
      <c r="F28">
        <f t="shared" si="9"/>
        <v>11</v>
      </c>
      <c r="G28">
        <f t="shared" si="0"/>
        <v>1</v>
      </c>
      <c r="H28">
        <f t="shared" si="1"/>
        <v>0</v>
      </c>
      <c r="I28">
        <f t="shared" si="2"/>
        <v>0</v>
      </c>
      <c r="J28">
        <f t="shared" si="3"/>
        <v>0</v>
      </c>
      <c r="K28">
        <f t="shared" si="10"/>
        <v>0.33333333333333331</v>
      </c>
      <c r="L28" s="1">
        <v>1.3</v>
      </c>
      <c r="M28">
        <v>0</v>
      </c>
      <c r="N28">
        <f t="shared" si="4"/>
        <v>-3.2627378275309091</v>
      </c>
      <c r="O28" s="3">
        <f t="shared" si="5"/>
        <v>3.8283440947330868E-2</v>
      </c>
      <c r="P28">
        <f t="shared" si="6"/>
        <v>-0.13267184846909685</v>
      </c>
      <c r="Q28">
        <f t="shared" si="7"/>
        <v>0.87575242446069601</v>
      </c>
      <c r="R28">
        <f t="shared" si="11"/>
        <v>-3.1300659790618122</v>
      </c>
    </row>
    <row r="29" spans="1:21" x14ac:dyDescent="0.35">
      <c r="A29" t="s">
        <v>49</v>
      </c>
      <c r="B29">
        <v>0.46992882586886903</v>
      </c>
      <c r="D29">
        <f t="shared" si="8"/>
        <v>0</v>
      </c>
      <c r="E29">
        <f t="shared" si="12"/>
        <v>22</v>
      </c>
      <c r="F29">
        <f t="shared" si="9"/>
        <v>12</v>
      </c>
      <c r="G29">
        <f t="shared" si="0"/>
        <v>1</v>
      </c>
      <c r="H29">
        <f t="shared" si="1"/>
        <v>0</v>
      </c>
      <c r="I29">
        <f t="shared" si="2"/>
        <v>0</v>
      </c>
      <c r="J29">
        <f t="shared" si="3"/>
        <v>0</v>
      </c>
      <c r="K29">
        <f t="shared" si="10"/>
        <v>0.33333333333333331</v>
      </c>
      <c r="L29" s="1">
        <v>1.3</v>
      </c>
      <c r="M29">
        <v>0</v>
      </c>
      <c r="N29">
        <f t="shared" si="4"/>
        <v>-3.2627378275309091</v>
      </c>
      <c r="O29" s="3">
        <f t="shared" si="5"/>
        <v>3.8283440947330868E-2</v>
      </c>
      <c r="P29">
        <f t="shared" si="6"/>
        <v>-0.13267184846909685</v>
      </c>
      <c r="Q29">
        <f t="shared" si="7"/>
        <v>0.87575242446069601</v>
      </c>
      <c r="R29">
        <f t="shared" si="11"/>
        <v>-3.1300659790618122</v>
      </c>
    </row>
    <row r="30" spans="1:21" x14ac:dyDescent="0.35">
      <c r="A30" t="s">
        <v>50</v>
      </c>
      <c r="B30">
        <v>0.472851885434387</v>
      </c>
    </row>
    <row r="31" spans="1:21" x14ac:dyDescent="0.35">
      <c r="A31" t="s">
        <v>51</v>
      </c>
      <c r="B31">
        <v>0.57767846267353695</v>
      </c>
    </row>
    <row r="32" spans="1:21" x14ac:dyDescent="0.35">
      <c r="A32" t="s">
        <v>52</v>
      </c>
      <c r="B32">
        <v>0.70507076311662897</v>
      </c>
    </row>
    <row r="33" spans="1:2" x14ac:dyDescent="0.35">
      <c r="A33" t="s">
        <v>53</v>
      </c>
      <c r="B33">
        <v>0.75719904977134</v>
      </c>
    </row>
    <row r="34" spans="1:2" x14ac:dyDescent="0.35">
      <c r="A34" t="s">
        <v>54</v>
      </c>
      <c r="B34">
        <v>0.54465071647337304</v>
      </c>
    </row>
    <row r="35" spans="1:2" x14ac:dyDescent="0.35">
      <c r="A35" t="s">
        <v>55</v>
      </c>
      <c r="B35">
        <v>-0.826641853779992</v>
      </c>
    </row>
    <row r="36" spans="1:2" x14ac:dyDescent="0.35">
      <c r="A36" t="s">
        <v>56</v>
      </c>
      <c r="B36">
        <v>-0.83943568672088498</v>
      </c>
    </row>
    <row r="37" spans="1:2" x14ac:dyDescent="0.35">
      <c r="A37" t="s">
        <v>57</v>
      </c>
      <c r="B37">
        <v>-0.90877656230926196</v>
      </c>
    </row>
    <row r="38" spans="1:2" x14ac:dyDescent="0.35">
      <c r="A38" t="s">
        <v>58</v>
      </c>
      <c r="B38">
        <v>1.5361022171699501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Surrender predictive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Kramer Howell</dc:creator>
  <cp:lastModifiedBy>Kramer Howell</cp:lastModifiedBy>
  <dcterms:created xsi:type="dcterms:W3CDTF">2026-01-15T19:09:11Z</dcterms:created>
  <dcterms:modified xsi:type="dcterms:W3CDTF">2026-01-15T19:10:08Z</dcterms:modified>
</cp:coreProperties>
</file>